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 Breakdown" sheetId="1" state="visible" r:id="rId3"/>
    <sheet name="Timeline" sheetId="2" state="visible" r:id="rId4"/>
    <sheet name="Task Checklis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<sst xmlns="http://schemas.openxmlformats.org/spreadsheetml/2006/main" count="165" uniqueCount="122">
  <si>
    <t xml:space="preserve">Category</t>
  </si>
  <si>
    <t xml:space="preserve">Item</t>
  </si>
  <si>
    <t xml:space="preserve">Qty</t>
  </si>
  <si>
    <t xml:space="preserve">Unit Price (INR)</t>
  </si>
  <si>
    <t xml:space="preserve">Subtotal (INR)</t>
  </si>
  <si>
    <t xml:space="preserve">Source / Note</t>
  </si>
  <si>
    <t xml:space="preserve">Compute</t>
  </si>
  <si>
    <t xml:space="preserve">ESP32-S3-DevKitC-1 (N16R8)</t>
  </si>
  <si>
    <t xml:space="preserve">Global list price ~$12 (Walmart/eBay), +India import/reseller markup</t>
  </si>
  <si>
    <t xml:space="preserve">Sensing</t>
  </si>
  <si>
    <t xml:space="preserve">MPU9250 9-DOF IMU breakout</t>
  </si>
  <si>
    <t xml:space="preserve">Budget route - software sensor fusion on ESP32; BNO085/055 (Rs1500-4000) is the pricier alternative</t>
  </si>
  <si>
    <t xml:space="preserve">Propulsion</t>
  </si>
  <si>
    <t xml:space="preserve">1800KV brushless motor (2204-2206 class)</t>
  </si>
  <si>
    <t xml:space="preserve">Matches XTR-33 designer's suggested combo</t>
  </si>
  <si>
    <t xml:space="preserve">20-30A BLHeli ESC</t>
  </si>
  <si>
    <t xml:space="preserve">8x4.3 propeller (pack incl. spares)</t>
  </si>
  <si>
    <t xml:space="preserve">Power</t>
  </si>
  <si>
    <t xml:space="preserve">3S LiPo battery (850-1300mAh)</t>
  </si>
  <si>
    <t xml:space="preserve">Sized for a ~150-250g flying weight</t>
  </si>
  <si>
    <t xml:space="preserve">Control surfaces</t>
  </si>
  <si>
    <t xml:space="preserve">Servos: 1x9g + 2x2.3g micro</t>
  </si>
  <si>
    <t xml:space="preserve">RC link</t>
  </si>
  <si>
    <t xml:space="preserve">ExpressLRS nano receiver (2.4GHz)</t>
  </si>
  <si>
    <t xml:space="preserve">Global ~$17-19 (eBay) + India landing cost</t>
  </si>
  <si>
    <t xml:space="preserve">Fabrication</t>
  </si>
  <si>
    <t xml:space="preserve">LW-PLA filament (1 spool)</t>
  </si>
  <si>
    <t xml:space="preserve">Foaming filament - required for the printed weight target</t>
  </si>
  <si>
    <t xml:space="preserve">Standard PLA filament (1 spool)</t>
  </si>
  <si>
    <t xml:space="preserve">Structural/non-critical printed parts</t>
  </si>
  <si>
    <t xml:space="preserve">TPU filament (1 spool)</t>
  </si>
  <si>
    <t xml:space="preserve">Control-surface hinges; can substitute tape hinges to cut this</t>
  </si>
  <si>
    <t xml:space="preserve">Logging</t>
  </si>
  <si>
    <t xml:space="preserve">MicroSD module + card (8GB)</t>
  </si>
  <si>
    <t xml:space="preserve">Onboard black-box logging</t>
  </si>
  <si>
    <t xml:space="preserve">Misc</t>
  </si>
  <si>
    <t xml:space="preserve">Wiring, connectors, control horns, glue, hardware</t>
  </si>
  <si>
    <t xml:space="preserve">Bundled allowance</t>
  </si>
  <si>
    <t xml:space="preserve">PROTOTYPE #1 SUBTOTAL</t>
  </si>
  <si>
    <t xml:space="preserve">Tooling (one-time)</t>
  </si>
  <si>
    <t xml:space="preserve">Entry FDM 3D printer (if no campus/ThrustMIT access)</t>
  </si>
  <si>
    <t xml:space="preserve">Skip this row entirely if ThrustMIT/college fab lab covers printing</t>
  </si>
  <si>
    <t xml:space="preserve">LiPo charger (if not already owned)</t>
  </si>
  <si>
    <t xml:space="preserve">Skip if already owned from prior RC/rocketry work</t>
  </si>
  <si>
    <t xml:space="preserve">Full ELRS TX+RX radio system (if starting from scratch)</t>
  </si>
  <si>
    <t xml:space="preserve">Skip if a compatible transmitter is already owned</t>
  </si>
  <si>
    <t xml:space="preserve">ONE-TIME TOOLING SUBTOTAL (contingent - see notes)</t>
  </si>
  <si>
    <t xml:space="preserve">GRAND TOTAL (assuming tooling already available)</t>
  </si>
  <si>
    <t xml:space="preserve">Assumptions</t>
  </si>
  <si>
    <t xml:space="preserve">Exchange rate used where only USD prices were found: ~Rs 88 / USD (verify at time of purchase - this moves).</t>
  </si>
  <si>
    <t xml:space="preserve">Assumes ThrustMIT / campus fab lab covers 3D printing (filament cost only, no printer purchase).</t>
  </si>
  <si>
    <t xml:space="preserve">Assumes an ELRS-compatible transmitter and a LiPo charger are already owned from prior RC/rocketry work.</t>
  </si>
  <si>
    <t xml:space="preserve">Camera module for Stage 5 vision work is deliberately excluded - Stages 1-4 (this prototype's target) don't need it; add ~Rs 500-700 when Stage 5 starts.</t>
  </si>
  <si>
    <t xml:space="preserve">Prices are current best estimates from live listings (see research_log.xlsx for sources) - re-check before ordering.</t>
  </si>
  <si>
    <t xml:space="preserve">Phase</t>
  </si>
  <si>
    <t xml:space="preserve">What happens</t>
  </si>
  <si>
    <t xml:space="preserve">Start Date</t>
  </si>
  <si>
    <t xml:space="preserve">Duration (weeks)</t>
  </si>
  <si>
    <t xml:space="preserve">End Date</t>
  </si>
  <si>
    <t xml:space="preserve">Notes</t>
  </si>
  <si>
    <t xml:space="preserve">A - Software build</t>
  </si>
  <si>
    <t xml:space="preserve">Finish jsbsim_env, aerodynamics, reward, curriculum, train, evaluate, emergency, vision, stats, knowledge base, dashboard</t>
  </si>
  <si>
    <t xml:space="preserve">Continuing the current one-file-at-a-time build</t>
  </si>
  <si>
    <t xml:space="preserve">B - Procurement + printing</t>
  </si>
  <si>
    <t xml:space="preserve">Order electronics, print XTR-33 parts, assemble airframe</t>
  </si>
  <si>
    <t xml:space="preserve">Runs in parallel with the back half of Phase A</t>
  </si>
  <si>
    <t xml:space="preserve">C - Sim training (Stages 1-4)</t>
  </si>
  <si>
    <t xml:space="preserve">Stabilization, navigation, takeoff, landing curriculum stages in JSBSim</t>
  </si>
  <si>
    <t xml:space="preserve">Mostly unattended compute time once launched</t>
  </si>
  <si>
    <t xml:space="preserve">D - Odd-sem exams / buffer</t>
  </si>
  <si>
    <t xml:space="preserve">Reduced hands-on pace; let Stage 5-6 sim training run in background</t>
  </si>
  <si>
    <t xml:space="preserve">Matches your Nov-Dec exam pattern - training doesn't need active attention</t>
  </si>
  <si>
    <t xml:space="preserve">E - Hardware bring-up</t>
  </si>
  <si>
    <t xml:space="preserve">ESP32 firmware, sensor calibration, ground bench tests, telemetry range check</t>
  </si>
  <si>
    <t xml:space="preserve">Semester break - good window for hands-on hardware work</t>
  </si>
  <si>
    <t xml:space="preserve">F - Policy distillation</t>
  </si>
  <si>
    <t xml:space="preserve">Shrink trained SAC policy to a TFLite-Micro model, flash to ESP32, SIL/HIL testing</t>
  </si>
  <si>
    <t xml:space="preserve">G - First real flights</t>
  </si>
  <si>
    <t xml:space="preserve">Manual airworthiness check with safety pilot, then supervised autonomous handoff</t>
  </si>
  <si>
    <t xml:space="preserve">Keep a manual override switch at every flight</t>
  </si>
  <si>
    <t xml:space="preserve">H - Real-data iteration</t>
  </si>
  <si>
    <t xml:space="preserve">Log real flight data, retrain/fine-tune in sim to close the sim-to-real gap, reflash, retest</t>
  </si>
  <si>
    <t xml:space="preserve">I - Even-sem exams / buffer</t>
  </si>
  <si>
    <t xml:space="preserve">Reduced hands-on pace again</t>
  </si>
  <si>
    <t xml:space="preserve">Matches your April-May exam pattern</t>
  </si>
  <si>
    <t xml:space="preserve">J - Validation flights</t>
  </si>
  <si>
    <t xml:space="preserve">Demonstrate autonomous stabilization + navigation + at least one resilience scenario (e.g. simulated GPS loss)</t>
  </si>
  <si>
    <t xml:space="preserve">This is the 'working prototype' milestone</t>
  </si>
  <si>
    <t xml:space="preserve">K - Docs + IP + funding prep</t>
  </si>
  <si>
    <t xml:space="preserve">Decide repo visibility, file provisional patent, DPIIT recognition, identify a DISC challenge to target</t>
  </si>
  <si>
    <t xml:space="preserve">Do this before wider public disclosure of the methodology</t>
  </si>
  <si>
    <t xml:space="preserve">Buffer</t>
  </si>
  <si>
    <t xml:space="preserve">Safety margin before the July deadline</t>
  </si>
  <si>
    <t xml:space="preserve">Hardware/RL projects slip - this is intentional, not padding you should cut</t>
  </si>
  <si>
    <t xml:space="preserve">Task</t>
  </si>
  <si>
    <t xml:space="preserve">Status</t>
  </si>
  <si>
    <t xml:space="preserve">Technical</t>
  </si>
  <si>
    <t xml:space="preserve">Finish jsbsim_env.py, aerodynamics.py (with real XTR-33 coefficients), reward.py, curriculum.py</t>
  </si>
  <si>
    <t xml:space="preserve">Not started</t>
  </si>
  <si>
    <t xml:space="preserve">Finish train.py, evaluate.py, emergency.py, vision.py, stats.py</t>
  </si>
  <si>
    <t xml:space="preserve">Build knowledge base scraper/indexer/retriever and the dashboard</t>
  </si>
  <si>
    <t xml:space="preserve">Distill trained SAC policy into a TFLite-Micro model sized for ESP32-S3</t>
  </si>
  <si>
    <t xml:space="preserve">Write ESP32 firmware: sensor read, control loop, telemetry, SD logging, RTH failsafe</t>
  </si>
  <si>
    <t xml:space="preserve">Procurement</t>
  </si>
  <si>
    <t xml:space="preserve">Order ESP32-S3, MPU9250, motor, ESC, prop, battery, servos, ELRS receiver</t>
  </si>
  <si>
    <t xml:space="preserve">Source LW-PLA, PLA, and TPU filament</t>
  </si>
  <si>
    <t xml:space="preserve">Confirm 3D printing access (ThrustMIT/campus fab lab) or budget a printer</t>
  </si>
  <si>
    <t xml:space="preserve">3D print XTR-33 outdoor variant parts</t>
  </si>
  <si>
    <t xml:space="preserve">Assemble airframe, install electronics, balance CG</t>
  </si>
  <si>
    <t xml:space="preserve">Testing</t>
  </si>
  <si>
    <t xml:space="preserve">Ground bench test: motor/ESC/servo response, IMU calibration, telemetry range</t>
  </si>
  <si>
    <t xml:space="preserve">First manual test flights with a safety pilot for airworthiness</t>
  </si>
  <si>
    <t xml:space="preserve">Supervised autonomous handoff flights</t>
  </si>
  <si>
    <t xml:space="preserve">Log real flight data and run retrain/reflash iteration cycles</t>
  </si>
  <si>
    <t xml:space="preserve">Regulatory</t>
  </si>
  <si>
    <t xml:space="preserve">Confirm LoRa/ELRS firmware is set to the India 865-867 MHz region plan</t>
  </si>
  <si>
    <t xml:space="preserve">Check DGCA UAS rules for this aircraft's weight class before outdoor flights</t>
  </si>
  <si>
    <t xml:space="preserve">IP / Funding</t>
  </si>
  <si>
    <t xml:space="preserve">Decide whether the GitHub repo stays public or goes private before wider disclosure</t>
  </si>
  <si>
    <t xml:space="preserve">File a provisional patent once the first working demonstrator flies</t>
  </si>
  <si>
    <t xml:space="preserve">Get DPIIT Startup India recognition</t>
  </si>
  <si>
    <t xml:space="preserve">Identify an upcoming DISC edition (autonomous systems / surveillance) and prep the application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</si>
</sst>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8"/>
    <col collapsed="false" customWidth="true" hidden="false" outlineLevel="0" max="3" min="3" style="0" width="6"/>
    <col collapsed="false" customWidth="true" hidden="false" outlineLevel="0" max="5" min="4" style="0" width="15"/>
    <col collapsed="false" customWidth="true" hidden="false" outlineLevel="0" max="6" min="6" style="0" width="55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n">
        <v>1</v>
      </c>
      <c r="D2" s="2" t="n">
        <v>1100</v>
      </c>
      <c r="E2" s="2" t="n">
        <f aca="false">C2*D2</f>
        <v>1100</v>
      </c>
      <c r="F2" s="2" t="s">
        <v>8</v>
      </c>
    </row>
    <row r="3" customFormat="false" ht="15" hidden="false" customHeight="false" outlineLevel="0" collapsed="false">
      <c r="A3" s="2" t="s">
        <v>9</v>
      </c>
      <c r="B3" s="2" t="s">
        <v>10</v>
      </c>
      <c r="C3" s="2" t="n">
        <v>1</v>
      </c>
      <c r="D3" s="2" t="n">
        <v>350</v>
      </c>
      <c r="E3" s="2" t="n">
        <f aca="false">C3*D3</f>
        <v>350</v>
      </c>
      <c r="F3" s="2" t="s">
        <v>11</v>
      </c>
    </row>
    <row r="4" customFormat="false" ht="15" hidden="false" customHeight="false" outlineLevel="0" collapsed="false">
      <c r="A4" s="2" t="s">
        <v>12</v>
      </c>
      <c r="B4" s="2" t="s">
        <v>13</v>
      </c>
      <c r="C4" s="2" t="n">
        <v>1</v>
      </c>
      <c r="D4" s="2" t="n">
        <v>750</v>
      </c>
      <c r="E4" s="2" t="n">
        <f aca="false">C4*D4</f>
        <v>750</v>
      </c>
      <c r="F4" s="2" t="s">
        <v>14</v>
      </c>
    </row>
    <row r="5" customFormat="false" ht="15" hidden="false" customHeight="false" outlineLevel="0" collapsed="false">
      <c r="A5" s="2" t="s">
        <v>12</v>
      </c>
      <c r="B5" s="2" t="s">
        <v>15</v>
      </c>
      <c r="C5" s="2" t="n">
        <v>1</v>
      </c>
      <c r="D5" s="2" t="n">
        <v>550</v>
      </c>
      <c r="E5" s="2" t="n">
        <f aca="false">C5*D5</f>
        <v>550</v>
      </c>
      <c r="F5" s="2" t="s">
        <v>14</v>
      </c>
    </row>
    <row r="6" customFormat="false" ht="15" hidden="false" customHeight="false" outlineLevel="0" collapsed="false">
      <c r="A6" s="2" t="s">
        <v>12</v>
      </c>
      <c r="B6" s="2" t="s">
        <v>16</v>
      </c>
      <c r="C6" s="2" t="n">
        <v>1</v>
      </c>
      <c r="D6" s="2" t="n">
        <v>200</v>
      </c>
      <c r="E6" s="2" t="n">
        <f aca="false">C6*D6</f>
        <v>200</v>
      </c>
      <c r="F6" s="2"/>
    </row>
    <row r="7" customFormat="false" ht="15" hidden="false" customHeight="false" outlineLevel="0" collapsed="false">
      <c r="A7" s="2" t="s">
        <v>17</v>
      </c>
      <c r="B7" s="2" t="s">
        <v>18</v>
      </c>
      <c r="C7" s="2" t="n">
        <v>1</v>
      </c>
      <c r="D7" s="2" t="n">
        <v>850</v>
      </c>
      <c r="E7" s="2" t="n">
        <f aca="false">C7*D7</f>
        <v>850</v>
      </c>
      <c r="F7" s="2" t="s">
        <v>19</v>
      </c>
    </row>
    <row r="8" customFormat="false" ht="15" hidden="false" customHeight="false" outlineLevel="0" collapsed="false">
      <c r="A8" s="2" t="s">
        <v>20</v>
      </c>
      <c r="B8" s="2" t="s">
        <v>21</v>
      </c>
      <c r="C8" s="2" t="n">
        <v>1</v>
      </c>
      <c r="D8" s="2" t="n">
        <v>1000</v>
      </c>
      <c r="E8" s="2" t="n">
        <f aca="false">C8*D8</f>
        <v>1000</v>
      </c>
      <c r="F8" s="2" t="s">
        <v>14</v>
      </c>
    </row>
    <row r="9" customFormat="false" ht="15" hidden="false" customHeight="false" outlineLevel="0" collapsed="false">
      <c r="A9" s="2" t="s">
        <v>22</v>
      </c>
      <c r="B9" s="2" t="s">
        <v>23</v>
      </c>
      <c r="C9" s="2" t="n">
        <v>1</v>
      </c>
      <c r="D9" s="2" t="n">
        <v>1700</v>
      </c>
      <c r="E9" s="2" t="n">
        <f aca="false">C9*D9</f>
        <v>1700</v>
      </c>
      <c r="F9" s="2" t="s">
        <v>24</v>
      </c>
    </row>
    <row r="10" customFormat="false" ht="15" hidden="false" customHeight="false" outlineLevel="0" collapsed="false">
      <c r="A10" s="2" t="s">
        <v>25</v>
      </c>
      <c r="B10" s="2" t="s">
        <v>26</v>
      </c>
      <c r="C10" s="2" t="n">
        <v>1</v>
      </c>
      <c r="D10" s="2" t="n">
        <v>3000</v>
      </c>
      <c r="E10" s="2" t="n">
        <f aca="false">C10*D10</f>
        <v>3000</v>
      </c>
      <c r="F10" s="2" t="s">
        <v>27</v>
      </c>
    </row>
    <row r="11" customFormat="false" ht="15" hidden="false" customHeight="false" outlineLevel="0" collapsed="false">
      <c r="A11" s="2" t="s">
        <v>25</v>
      </c>
      <c r="B11" s="2" t="s">
        <v>28</v>
      </c>
      <c r="C11" s="2" t="n">
        <v>1</v>
      </c>
      <c r="D11" s="2" t="n">
        <v>800</v>
      </c>
      <c r="E11" s="2" t="n">
        <f aca="false">C11*D11</f>
        <v>800</v>
      </c>
      <c r="F11" s="2" t="s">
        <v>29</v>
      </c>
    </row>
    <row r="12" customFormat="false" ht="15" hidden="false" customHeight="false" outlineLevel="0" collapsed="false">
      <c r="A12" s="2" t="s">
        <v>25</v>
      </c>
      <c r="B12" s="2" t="s">
        <v>30</v>
      </c>
      <c r="C12" s="2" t="n">
        <v>1</v>
      </c>
      <c r="D12" s="2" t="n">
        <v>1000</v>
      </c>
      <c r="E12" s="2" t="n">
        <f aca="false">C12*D12</f>
        <v>1000</v>
      </c>
      <c r="F12" s="2" t="s">
        <v>31</v>
      </c>
    </row>
    <row r="13" customFormat="false" ht="15" hidden="false" customHeight="false" outlineLevel="0" collapsed="false">
      <c r="A13" s="2" t="s">
        <v>32</v>
      </c>
      <c r="B13" s="2" t="s">
        <v>33</v>
      </c>
      <c r="C13" s="2" t="n">
        <v>1</v>
      </c>
      <c r="D13" s="2" t="n">
        <v>300</v>
      </c>
      <c r="E13" s="2" t="n">
        <f aca="false">C13*D13</f>
        <v>300</v>
      </c>
      <c r="F13" s="2" t="s">
        <v>34</v>
      </c>
    </row>
    <row r="14" customFormat="false" ht="15" hidden="false" customHeight="false" outlineLevel="0" collapsed="false">
      <c r="A14" s="2" t="s">
        <v>35</v>
      </c>
      <c r="B14" s="2" t="s">
        <v>36</v>
      </c>
      <c r="C14" s="2" t="n">
        <v>1</v>
      </c>
      <c r="D14" s="2" t="n">
        <v>700</v>
      </c>
      <c r="E14" s="2" t="n">
        <f aca="false">C14*D14</f>
        <v>700</v>
      </c>
      <c r="F14" s="2" t="s">
        <v>37</v>
      </c>
    </row>
    <row r="15" customFormat="false" ht="15" hidden="false" customHeight="false" outlineLevel="0" collapsed="false">
      <c r="A15" s="3"/>
      <c r="B15" s="3" t="s">
        <v>38</v>
      </c>
      <c r="C15" s="3"/>
      <c r="D15" s="3"/>
      <c r="E15" s="3" t="n">
        <f aca="false">SUM(E2:E14)</f>
        <v>12300</v>
      </c>
      <c r="F15" s="3"/>
    </row>
    <row r="17" customFormat="false" ht="15" hidden="false" customHeight="false" outlineLevel="0" collapsed="false">
      <c r="A17" s="2" t="s">
        <v>39</v>
      </c>
      <c r="B17" s="2" t="s">
        <v>40</v>
      </c>
      <c r="C17" s="2" t="n">
        <v>1</v>
      </c>
      <c r="D17" s="2" t="n">
        <v>16000</v>
      </c>
      <c r="E17" s="2" t="n">
        <f aca="false">C17*D17</f>
        <v>16000</v>
      </c>
      <c r="F17" s="2" t="s">
        <v>41</v>
      </c>
    </row>
    <row r="18" customFormat="false" ht="15" hidden="false" customHeight="false" outlineLevel="0" collapsed="false">
      <c r="A18" s="2" t="s">
        <v>39</v>
      </c>
      <c r="B18" s="2" t="s">
        <v>42</v>
      </c>
      <c r="C18" s="2" t="n">
        <v>1</v>
      </c>
      <c r="D18" s="2" t="n">
        <v>1500</v>
      </c>
      <c r="E18" s="2" t="n">
        <f aca="false">C18*D18</f>
        <v>1500</v>
      </c>
      <c r="F18" s="2" t="s">
        <v>43</v>
      </c>
    </row>
    <row r="19" customFormat="false" ht="15" hidden="false" customHeight="false" outlineLevel="0" collapsed="false">
      <c r="A19" s="2" t="s">
        <v>39</v>
      </c>
      <c r="B19" s="2" t="s">
        <v>44</v>
      </c>
      <c r="C19" s="2" t="n">
        <v>1</v>
      </c>
      <c r="D19" s="2" t="n">
        <v>5000</v>
      </c>
      <c r="E19" s="2" t="n">
        <f aca="false">C19*D19</f>
        <v>5000</v>
      </c>
      <c r="F19" s="2" t="s">
        <v>45</v>
      </c>
    </row>
    <row r="20" customFormat="false" ht="15" hidden="false" customHeight="false" outlineLevel="0" collapsed="false">
      <c r="A20" s="3"/>
      <c r="B20" s="3" t="s">
        <v>46</v>
      </c>
      <c r="C20" s="3"/>
      <c r="D20" s="3"/>
      <c r="E20" s="3" t="n">
        <f aca="false">SUM(E17:E19)</f>
        <v>22500</v>
      </c>
      <c r="F20" s="3"/>
    </row>
    <row r="21" customFormat="false" ht="15" hidden="false" customHeight="false" outlineLevel="0" collapsed="false">
      <c r="B21" s="0" t="s">
        <v>47</v>
      </c>
      <c r="E21" s="0" t="n">
        <f aca="false">E15</f>
        <v>12300</v>
      </c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</row>
    <row r="24" customFormat="false" ht="15" hidden="false" customHeight="false" outlineLevel="0" collapsed="false">
      <c r="A24" s="5" t="s">
        <v>48</v>
      </c>
    </row>
    <row r="25" customFormat="false" ht="15" hidden="false" customHeight="false" outlineLevel="0" collapsed="false">
      <c r="A25" s="6" t="s">
        <v>49</v>
      </c>
      <c r="B25" s="6"/>
      <c r="C25" s="6"/>
      <c r="D25" s="6"/>
      <c r="E25" s="6"/>
      <c r="F25" s="6"/>
    </row>
    <row r="26" customFormat="false" ht="15" hidden="false" customHeight="false" outlineLevel="0" collapsed="false">
      <c r="A26" s="6" t="s">
        <v>50</v>
      </c>
      <c r="B26" s="6"/>
      <c r="C26" s="6"/>
      <c r="D26" s="6"/>
      <c r="E26" s="6"/>
      <c r="F26" s="6"/>
    </row>
    <row r="27" customFormat="false" ht="15" hidden="false" customHeight="false" outlineLevel="0" collapsed="false">
      <c r="A27" s="6" t="s">
        <v>51</v>
      </c>
      <c r="B27" s="6"/>
      <c r="C27" s="6"/>
      <c r="D27" s="6"/>
      <c r="E27" s="6"/>
      <c r="F27" s="6"/>
    </row>
    <row r="28" customFormat="false" ht="15" hidden="false" customHeight="false" outlineLevel="0" collapsed="false">
      <c r="A28" s="6" t="s">
        <v>52</v>
      </c>
      <c r="B28" s="6"/>
      <c r="C28" s="6"/>
      <c r="D28" s="6"/>
      <c r="E28" s="6"/>
      <c r="F28" s="6"/>
    </row>
    <row r="29" customFormat="false" ht="15" hidden="false" customHeight="false" outlineLevel="0" collapsed="false">
      <c r="A29" s="6" t="s">
        <v>53</v>
      </c>
      <c r="B29" s="6"/>
      <c r="C29" s="6"/>
      <c r="D29" s="6"/>
      <c r="E29" s="6"/>
      <c r="F29" s="6"/>
    </row>
  </sheetData>
  <mergeCells count="5">
    <mergeCell ref="A25:F25"/>
    <mergeCell ref="A26:F26"/>
    <mergeCell ref="A27:F27"/>
    <mergeCell ref="A28:F28"/>
    <mergeCell ref="A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5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45"/>
  </cols>
  <sheetData>
    <row r="1" customFormat="false" ht="26.85" hidden="false" customHeight="false" outlineLevel="0" collapsed="false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</row>
    <row r="2" customFormat="false" ht="45" hidden="false" customHeight="true" outlineLevel="0" collapsed="false">
      <c r="A2" s="7" t="s">
        <v>60</v>
      </c>
      <c r="B2" s="7" t="s">
        <v>61</v>
      </c>
      <c r="C2" s="8" t="n">
        <v>46261</v>
      </c>
      <c r="D2" s="7" t="n">
        <v>7</v>
      </c>
      <c r="E2" s="8" t="n">
        <f aca="false">C2+D2*7</f>
        <v>46310</v>
      </c>
      <c r="F2" s="7" t="s">
        <v>62</v>
      </c>
    </row>
    <row r="3" customFormat="false" ht="45" hidden="false" customHeight="true" outlineLevel="0" collapsed="false">
      <c r="A3" s="7" t="s">
        <v>63</v>
      </c>
      <c r="B3" s="7" t="s">
        <v>64</v>
      </c>
      <c r="C3" s="8" t="n">
        <v>46280</v>
      </c>
      <c r="D3" s="7" t="n">
        <v>6</v>
      </c>
      <c r="E3" s="8" t="n">
        <f aca="false">C3+D3*7</f>
        <v>46322</v>
      </c>
      <c r="F3" s="7" t="s">
        <v>65</v>
      </c>
    </row>
    <row r="4" customFormat="false" ht="45" hidden="false" customHeight="true" outlineLevel="0" collapsed="false">
      <c r="A4" s="7" t="s">
        <v>66</v>
      </c>
      <c r="B4" s="7" t="s">
        <v>67</v>
      </c>
      <c r="C4" s="8" t="n">
        <v>46310</v>
      </c>
      <c r="D4" s="7" t="n">
        <v>5</v>
      </c>
      <c r="E4" s="8" t="n">
        <f aca="false">C4+D4*7</f>
        <v>46345</v>
      </c>
      <c r="F4" s="7" t="s">
        <v>68</v>
      </c>
    </row>
    <row r="5" customFormat="false" ht="45" hidden="false" customHeight="true" outlineLevel="0" collapsed="false">
      <c r="A5" s="7" t="s">
        <v>69</v>
      </c>
      <c r="B5" s="7" t="s">
        <v>70</v>
      </c>
      <c r="C5" s="8" t="n">
        <v>46346</v>
      </c>
      <c r="D5" s="7" t="n">
        <v>5</v>
      </c>
      <c r="E5" s="8" t="n">
        <f aca="false">C5+D5*7</f>
        <v>46381</v>
      </c>
      <c r="F5" s="7" t="s">
        <v>71</v>
      </c>
    </row>
    <row r="6" customFormat="false" ht="45" hidden="false" customHeight="true" outlineLevel="0" collapsed="false">
      <c r="A6" s="7" t="s">
        <v>72</v>
      </c>
      <c r="B6" s="7" t="s">
        <v>73</v>
      </c>
      <c r="C6" s="8" t="n">
        <v>46377</v>
      </c>
      <c r="D6" s="7" t="n">
        <v>3</v>
      </c>
      <c r="E6" s="8" t="n">
        <f aca="false">C6+D6*7</f>
        <v>46398</v>
      </c>
      <c r="F6" s="7" t="s">
        <v>74</v>
      </c>
    </row>
    <row r="7" customFormat="false" ht="45" hidden="false" customHeight="true" outlineLevel="0" collapsed="false">
      <c r="A7" s="7" t="s">
        <v>75</v>
      </c>
      <c r="B7" s="7" t="s">
        <v>76</v>
      </c>
      <c r="C7" s="8" t="n">
        <v>46397</v>
      </c>
      <c r="D7" s="7" t="n">
        <v>2</v>
      </c>
      <c r="E7" s="8" t="n">
        <f aca="false">C7+D7*7</f>
        <v>46411</v>
      </c>
      <c r="F7" s="7"/>
    </row>
    <row r="8" customFormat="false" ht="45" hidden="false" customHeight="true" outlineLevel="0" collapsed="false">
      <c r="A8" s="7" t="s">
        <v>77</v>
      </c>
      <c r="B8" s="7" t="s">
        <v>78</v>
      </c>
      <c r="C8" s="8" t="n">
        <v>46413</v>
      </c>
      <c r="D8" s="7" t="n">
        <v>5</v>
      </c>
      <c r="E8" s="8" t="n">
        <f aca="false">C8+D8*7</f>
        <v>46448</v>
      </c>
      <c r="F8" s="7" t="s">
        <v>79</v>
      </c>
    </row>
    <row r="9" customFormat="false" ht="45" hidden="false" customHeight="true" outlineLevel="0" collapsed="false">
      <c r="A9" s="7" t="s">
        <v>80</v>
      </c>
      <c r="B9" s="7" t="s">
        <v>81</v>
      </c>
      <c r="C9" s="8" t="n">
        <v>46447</v>
      </c>
      <c r="D9" s="7" t="n">
        <v>4</v>
      </c>
      <c r="E9" s="8" t="n">
        <f aca="false">C9+D9*7</f>
        <v>46475</v>
      </c>
      <c r="F9" s="7"/>
    </row>
    <row r="10" customFormat="false" ht="45" hidden="false" customHeight="true" outlineLevel="0" collapsed="false">
      <c r="A10" s="7" t="s">
        <v>82</v>
      </c>
      <c r="B10" s="7" t="s">
        <v>83</v>
      </c>
      <c r="C10" s="8" t="n">
        <v>46478</v>
      </c>
      <c r="D10" s="7" t="n">
        <v>6</v>
      </c>
      <c r="E10" s="8" t="n">
        <f aca="false">C10+D10*7</f>
        <v>46520</v>
      </c>
      <c r="F10" s="7" t="s">
        <v>84</v>
      </c>
    </row>
    <row r="11" customFormat="false" ht="45" hidden="false" customHeight="true" outlineLevel="0" collapsed="false">
      <c r="A11" s="7" t="s">
        <v>85</v>
      </c>
      <c r="B11" s="7" t="s">
        <v>86</v>
      </c>
      <c r="C11" s="8" t="n">
        <v>46523</v>
      </c>
      <c r="D11" s="7" t="n">
        <v>4</v>
      </c>
      <c r="E11" s="8" t="n">
        <f aca="false">C11+D11*7</f>
        <v>46551</v>
      </c>
      <c r="F11" s="7" t="s">
        <v>87</v>
      </c>
    </row>
    <row r="12" customFormat="false" ht="45" hidden="false" customHeight="true" outlineLevel="0" collapsed="false">
      <c r="A12" s="7" t="s">
        <v>88</v>
      </c>
      <c r="B12" s="7" t="s">
        <v>89</v>
      </c>
      <c r="C12" s="8" t="n">
        <v>46554</v>
      </c>
      <c r="D12" s="7" t="n">
        <v>4</v>
      </c>
      <c r="E12" s="8" t="n">
        <f aca="false">C12+D12*7</f>
        <v>46582</v>
      </c>
      <c r="F12" s="7" t="s">
        <v>90</v>
      </c>
    </row>
    <row r="13" customFormat="false" ht="45" hidden="false" customHeight="true" outlineLevel="0" collapsed="false">
      <c r="A13" s="7" t="s">
        <v>91</v>
      </c>
      <c r="B13" s="7" t="s">
        <v>92</v>
      </c>
      <c r="C13" s="8" t="n">
        <v>46582</v>
      </c>
      <c r="D13" s="7" t="n">
        <v>2</v>
      </c>
      <c r="E13" s="8" t="n">
        <f aca="false">C13+D13*7</f>
        <v>46596</v>
      </c>
      <c r="F13" s="7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0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9" t="s">
        <v>0</v>
      </c>
      <c r="B1" s="9" t="s">
        <v>94</v>
      </c>
      <c r="C1" s="9" t="s">
        <v>95</v>
      </c>
    </row>
    <row r="2" customFormat="false" ht="23.85" hidden="false" customHeight="false" outlineLevel="0" collapsed="false">
      <c r="A2" s="7" t="s">
        <v>96</v>
      </c>
      <c r="B2" s="7" t="s">
        <v>97</v>
      </c>
      <c r="C2" s="7" t="s">
        <v>98</v>
      </c>
    </row>
    <row r="3" customFormat="false" ht="15" hidden="false" customHeight="false" outlineLevel="0" collapsed="false">
      <c r="A3" s="7" t="s">
        <v>96</v>
      </c>
      <c r="B3" s="7" t="s">
        <v>99</v>
      </c>
      <c r="C3" s="7" t="s">
        <v>98</v>
      </c>
    </row>
    <row r="4" customFormat="false" ht="15" hidden="false" customHeight="false" outlineLevel="0" collapsed="false">
      <c r="A4" s="7" t="s">
        <v>96</v>
      </c>
      <c r="B4" s="7" t="s">
        <v>100</v>
      </c>
      <c r="C4" s="7" t="s">
        <v>98</v>
      </c>
    </row>
    <row r="5" customFormat="false" ht="15" hidden="false" customHeight="false" outlineLevel="0" collapsed="false">
      <c r="A5" s="7" t="s">
        <v>96</v>
      </c>
      <c r="B5" s="7" t="s">
        <v>101</v>
      </c>
      <c r="C5" s="7" t="s">
        <v>98</v>
      </c>
    </row>
    <row r="6" customFormat="false" ht="15" hidden="false" customHeight="false" outlineLevel="0" collapsed="false">
      <c r="A6" s="7" t="s">
        <v>96</v>
      </c>
      <c r="B6" s="7" t="s">
        <v>102</v>
      </c>
      <c r="C6" s="7" t="s">
        <v>98</v>
      </c>
    </row>
    <row r="7" customFormat="false" ht="15" hidden="false" customHeight="false" outlineLevel="0" collapsed="false">
      <c r="A7" s="7" t="s">
        <v>103</v>
      </c>
      <c r="B7" s="7" t="s">
        <v>104</v>
      </c>
      <c r="C7" s="7" t="s">
        <v>98</v>
      </c>
    </row>
    <row r="8" customFormat="false" ht="15" hidden="false" customHeight="false" outlineLevel="0" collapsed="false">
      <c r="A8" s="7" t="s">
        <v>103</v>
      </c>
      <c r="B8" s="7" t="s">
        <v>105</v>
      </c>
      <c r="C8" s="7" t="s">
        <v>98</v>
      </c>
    </row>
    <row r="9" customFormat="false" ht="15" hidden="false" customHeight="false" outlineLevel="0" collapsed="false">
      <c r="A9" s="7" t="s">
        <v>103</v>
      </c>
      <c r="B9" s="7" t="s">
        <v>106</v>
      </c>
      <c r="C9" s="7" t="s">
        <v>98</v>
      </c>
    </row>
    <row r="10" customFormat="false" ht="15" hidden="false" customHeight="false" outlineLevel="0" collapsed="false">
      <c r="A10" s="7" t="s">
        <v>25</v>
      </c>
      <c r="B10" s="7" t="s">
        <v>107</v>
      </c>
      <c r="C10" s="7" t="s">
        <v>98</v>
      </c>
    </row>
    <row r="11" customFormat="false" ht="15" hidden="false" customHeight="false" outlineLevel="0" collapsed="false">
      <c r="A11" s="7" t="s">
        <v>25</v>
      </c>
      <c r="B11" s="7" t="s">
        <v>108</v>
      </c>
      <c r="C11" s="7" t="s">
        <v>98</v>
      </c>
    </row>
    <row r="12" customFormat="false" ht="15" hidden="false" customHeight="false" outlineLevel="0" collapsed="false">
      <c r="A12" s="7" t="s">
        <v>109</v>
      </c>
      <c r="B12" s="7" t="s">
        <v>110</v>
      </c>
      <c r="C12" s="7" t="s">
        <v>98</v>
      </c>
    </row>
    <row r="13" customFormat="false" ht="15" hidden="false" customHeight="false" outlineLevel="0" collapsed="false">
      <c r="A13" s="7" t="s">
        <v>109</v>
      </c>
      <c r="B13" s="7" t="s">
        <v>111</v>
      </c>
      <c r="C13" s="7" t="s">
        <v>98</v>
      </c>
    </row>
    <row r="14" customFormat="false" ht="15" hidden="false" customHeight="false" outlineLevel="0" collapsed="false">
      <c r="A14" s="7" t="s">
        <v>109</v>
      </c>
      <c r="B14" s="7" t="s">
        <v>112</v>
      </c>
      <c r="C14" s="7" t="s">
        <v>98</v>
      </c>
    </row>
    <row r="15" customFormat="false" ht="15" hidden="false" customHeight="false" outlineLevel="0" collapsed="false">
      <c r="A15" s="7" t="s">
        <v>109</v>
      </c>
      <c r="B15" s="7" t="s">
        <v>113</v>
      </c>
      <c r="C15" s="7" t="s">
        <v>98</v>
      </c>
    </row>
    <row r="16" customFormat="false" ht="15" hidden="false" customHeight="false" outlineLevel="0" collapsed="false">
      <c r="A16" s="7" t="s">
        <v>114</v>
      </c>
      <c r="B16" s="7" t="s">
        <v>115</v>
      </c>
      <c r="C16" s="7" t="s">
        <v>98</v>
      </c>
    </row>
    <row r="17" customFormat="false" ht="15" hidden="false" customHeight="false" outlineLevel="0" collapsed="false">
      <c r="A17" s="7" t="s">
        <v>114</v>
      </c>
      <c r="B17" s="7" t="s">
        <v>116</v>
      </c>
      <c r="C17" s="7" t="s">
        <v>98</v>
      </c>
    </row>
    <row r="18" customFormat="false" ht="15" hidden="false" customHeight="false" outlineLevel="0" collapsed="false">
      <c r="A18" s="7" t="s">
        <v>117</v>
      </c>
      <c r="B18" s="7" t="s">
        <v>118</v>
      </c>
      <c r="C18" s="7" t="s">
        <v>98</v>
      </c>
    </row>
    <row r="19" customFormat="false" ht="15" hidden="false" customHeight="false" outlineLevel="0" collapsed="false">
      <c r="A19" s="7" t="s">
        <v>117</v>
      </c>
      <c r="B19" s="7" t="s">
        <v>119</v>
      </c>
      <c r="C19" s="7" t="s">
        <v>98</v>
      </c>
    </row>
    <row r="20" customFormat="false" ht="15" hidden="false" customHeight="false" outlineLevel="0" collapsed="false">
      <c r="A20" s="7" t="s">
        <v>117</v>
      </c>
      <c r="B20" s="7" t="s">
        <v>120</v>
      </c>
      <c r="C20" s="7" t="s">
        <v>98</v>
      </c>
    </row>
    <row r="21" customFormat="false" ht="23.85" hidden="false" customHeight="false" outlineLevel="0" collapsed="false">
      <c r="A21" s="7" t="s">
        <v>117</v>
      </c>
      <c r="B21" s="7" t="s">
        <v>121</v>
      </c>
      <c r="C21" s="7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2026-08-26T19:10:17Z</dcterms:created>
  <dc:creator>openpyxl</dc:creator>
  <dc:description/>
  <dc:language>en-US</dc:language>
  <cp:lastModifiedBy/>
  <dcterms:modified xsi:type="dcterms:W3CDTF">2026-08-26T19:10:17Z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